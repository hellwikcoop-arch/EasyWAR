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872" tabRatio="600" firstSheet="0" activeTab="2" autoFilterDateGrouping="1"/>
  </bookViews>
  <sheets>
    <sheet name="АА" sheetId="1" state="visible" r:id="rId1"/>
    <sheet name="ПС" sheetId="2" state="visible" r:id="rId2"/>
    <sheet name="Об'єкти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11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sz val="11"/>
    </font>
    <font>
      <name val="Times New Roman"/>
      <charset val="204"/>
      <family val="1"/>
      <color theme="1"/>
      <sz val="12"/>
    </font>
    <font>
      <name val="Calibri"/>
      <family val="2"/>
      <sz val="11"/>
      <scheme val="minor"/>
    </font>
    <font>
      <name val="Times New Roman"/>
      <charset val="204"/>
      <family val="1"/>
      <sz val="12"/>
    </font>
    <font>
      <name val="Calibri"/>
      <family val="2"/>
      <sz val="8"/>
      <scheme val="minor"/>
    </font>
    <font>
      <name val="Calibri"/>
      <family val="2"/>
      <color theme="1"/>
      <sz val="10"/>
      <scheme val="minor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2"/>
    </font>
  </fonts>
  <fills count="3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1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3" fillId="4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3" fillId="4" borderId="4" applyAlignment="1" pivotButton="0" quotePrefix="0" xfId="0">
      <alignment horizontal="center"/>
    </xf>
    <xf numFmtId="164" fontId="2" fillId="3" borderId="5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164" fontId="2" fillId="3" borderId="7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164" fontId="2" fillId="7" borderId="5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164" fontId="2" fillId="7" borderId="7" applyAlignment="1" pivotButton="0" quotePrefix="0" xfId="0">
      <alignment horizontal="center"/>
    </xf>
    <xf numFmtId="0" fontId="2" fillId="7" borderId="8" applyAlignment="1" pivotButton="0" quotePrefix="0" xfId="0">
      <alignment horizontal="center"/>
    </xf>
    <xf numFmtId="164" fontId="2" fillId="5" borderId="5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164" fontId="2" fillId="5" borderId="7" applyAlignment="1" pivotButton="0" quotePrefix="0" xfId="0">
      <alignment horizontal="center"/>
    </xf>
    <xf numFmtId="0" fontId="2" fillId="5" borderId="8" applyAlignment="1" pivotButton="0" quotePrefix="0" xfId="0">
      <alignment horizontal="center"/>
    </xf>
    <xf numFmtId="164" fontId="2" fillId="8" borderId="5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8" borderId="6" applyAlignment="1" pivotButton="0" quotePrefix="0" xfId="0">
      <alignment horizontal="center"/>
    </xf>
    <xf numFmtId="164" fontId="2" fillId="8" borderId="7" applyAlignment="1" pivotButton="0" quotePrefix="0" xfId="0">
      <alignment horizontal="center"/>
    </xf>
    <xf numFmtId="0" fontId="2" fillId="8" borderId="8" applyAlignment="1" pivotButton="0" quotePrefix="0" xfId="0">
      <alignment horizontal="center"/>
    </xf>
    <xf numFmtId="0" fontId="2" fillId="8" borderId="9" applyAlignment="1" pivotButton="0" quotePrefix="0" xfId="0">
      <alignment horizontal="center"/>
    </xf>
    <xf numFmtId="164" fontId="3" fillId="9" borderId="2" applyAlignment="1" pivotButton="0" quotePrefix="0" xfId="0">
      <alignment horizontal="center"/>
    </xf>
    <xf numFmtId="0" fontId="3" fillId="9" borderId="3" applyAlignment="1" pivotButton="0" quotePrefix="0" xfId="0">
      <alignment horizontal="center"/>
    </xf>
    <xf numFmtId="164" fontId="2" fillId="6" borderId="5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64" fontId="2" fillId="6" borderId="7" applyAlignment="1" pivotButton="0" quotePrefix="0" xfId="0">
      <alignment horizontal="center"/>
    </xf>
    <xf numFmtId="0" fontId="2" fillId="6" borderId="8" applyAlignment="1" pivotButton="0" quotePrefix="0" xfId="0">
      <alignment horizontal="center"/>
    </xf>
    <xf numFmtId="0" fontId="4" fillId="2" borderId="8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164" fontId="4" fillId="8" borderId="5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8" borderId="6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5" fillId="9" borderId="3" applyAlignment="1" pivotButton="0" quotePrefix="0" xfId="0">
      <alignment horizontal="center"/>
    </xf>
    <xf numFmtId="0" fontId="4" fillId="7" borderId="3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2" fillId="10" borderId="6" applyAlignment="1" pivotButton="0" quotePrefix="0" xfId="0">
      <alignment horizontal="center"/>
    </xf>
    <xf numFmtId="0" fontId="4" fillId="10" borderId="3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2" fillId="10" borderId="9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164" fontId="2" fillId="10" borderId="5" applyAlignment="1" pivotButton="0" quotePrefix="0" xfId="0">
      <alignment horizontal="center"/>
    </xf>
    <xf numFmtId="164" fontId="2" fillId="10" borderId="7" applyAlignment="1" pivotButton="0" quotePrefix="0" xfId="0">
      <alignment horizontal="center"/>
    </xf>
    <xf numFmtId="0" fontId="2" fillId="10" borderId="8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2" fillId="7" borderId="3" applyAlignment="1" pivotButton="0" quotePrefix="0" xfId="0">
      <alignment horizontal="center"/>
    </xf>
    <xf numFmtId="0" fontId="0" fillId="2" borderId="0" pivotButton="0" quotePrefix="0" xfId="0"/>
    <xf numFmtId="0" fontId="4" fillId="2" borderId="7" applyAlignment="1" pivotButton="0" quotePrefix="0" xfId="0">
      <alignment horizontal="center"/>
    </xf>
    <xf numFmtId="0" fontId="4" fillId="8" borderId="8" applyAlignment="1" pivotButton="0" quotePrefix="0" xfId="0">
      <alignment horizontal="center"/>
    </xf>
    <xf numFmtId="0" fontId="4" fillId="8" borderId="9" applyAlignment="1" pivotButton="0" quotePrefix="0" xfId="0">
      <alignment horizontal="center"/>
    </xf>
    <xf numFmtId="0" fontId="4" fillId="11" borderId="1" applyAlignment="1" pivotButton="0" quotePrefix="0" xfId="0">
      <alignment horizontal="center"/>
    </xf>
    <xf numFmtId="164" fontId="4" fillId="12" borderId="5" applyAlignment="1" pivotButton="0" quotePrefix="0" xfId="0">
      <alignment horizontal="center"/>
    </xf>
    <xf numFmtId="0" fontId="4" fillId="12" borderId="1" applyAlignment="1" pivotButton="0" quotePrefix="0" xfId="0">
      <alignment horizontal="center"/>
    </xf>
    <xf numFmtId="164" fontId="2" fillId="11" borderId="5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164" fontId="2" fillId="11" borderId="7" applyAlignment="1" pivotButton="0" quotePrefix="0" xfId="0">
      <alignment horizontal="center"/>
    </xf>
    <xf numFmtId="0" fontId="2" fillId="11" borderId="8" applyAlignment="1" pivotButton="0" quotePrefix="0" xfId="0">
      <alignment horizontal="center"/>
    </xf>
    <xf numFmtId="0" fontId="4" fillId="12" borderId="8" applyAlignment="1" pivotButton="0" quotePrefix="0" xfId="0">
      <alignment horizontal="center"/>
    </xf>
    <xf numFmtId="0" fontId="4" fillId="11" borderId="8" applyAlignment="1" pivotButton="0" quotePrefix="0" xfId="0">
      <alignment horizontal="center"/>
    </xf>
    <xf numFmtId="164" fontId="4" fillId="11" borderId="5" applyAlignment="1" pivotButton="0" quotePrefix="0" xfId="0">
      <alignment horizontal="center"/>
    </xf>
    <xf numFmtId="164" fontId="4" fillId="12" borderId="7" applyAlignment="1" pivotButton="0" quotePrefix="0" xfId="0">
      <alignment horizontal="center"/>
    </xf>
    <xf numFmtId="164" fontId="4" fillId="11" borderId="7" applyAlignment="1" pivotButton="0" quotePrefix="0" xfId="0">
      <alignment horizontal="center"/>
    </xf>
    <xf numFmtId="0" fontId="0" fillId="11" borderId="0" pivotButton="0" quotePrefix="0" xfId="0"/>
    <xf numFmtId="164" fontId="4" fillId="13" borderId="5" applyAlignment="1" pivotButton="0" quotePrefix="0" xfId="0">
      <alignment horizontal="center"/>
    </xf>
    <xf numFmtId="0" fontId="4" fillId="13" borderId="1" applyAlignment="1" pivotButton="0" quotePrefix="0" xfId="0">
      <alignment horizontal="center"/>
    </xf>
    <xf numFmtId="0" fontId="0" fillId="13" borderId="0" pivotButton="0" quotePrefix="0" xfId="0"/>
    <xf numFmtId="164" fontId="2" fillId="13" borderId="7" applyAlignment="1" pivotButton="0" quotePrefix="0" xfId="0">
      <alignment horizontal="center"/>
    </xf>
    <xf numFmtId="0" fontId="2" fillId="13" borderId="8" applyAlignment="1" pivotButton="0" quotePrefix="0" xfId="0">
      <alignment horizontal="center"/>
    </xf>
    <xf numFmtId="0" fontId="4" fillId="13" borderId="8" applyAlignment="1" pivotButton="0" quotePrefix="0" xfId="0">
      <alignment horizontal="center"/>
    </xf>
    <xf numFmtId="164" fontId="4" fillId="9" borderId="5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0" fillId="12" borderId="0" pivotButton="0" quotePrefix="0" xfId="0"/>
    <xf numFmtId="164" fontId="0" fillId="0" borderId="2" applyAlignment="1" pivotButton="0" quotePrefix="0" xfId="0">
      <alignment horizontal="center" vertical="center"/>
    </xf>
    <xf numFmtId="164" fontId="0" fillId="0" borderId="5" applyAlignment="1" pivotButton="0" quotePrefix="0" xfId="0">
      <alignment horizontal="center" vertical="center"/>
    </xf>
    <xf numFmtId="164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164" fontId="6" fillId="11" borderId="5" applyAlignment="1" pivotButton="0" quotePrefix="0" xfId="0">
      <alignment horizontal="center"/>
    </xf>
    <xf numFmtId="0" fontId="6" fillId="11" borderId="1" applyAlignment="1" pivotButton="0" quotePrefix="0" xfId="0">
      <alignment horizontal="center"/>
    </xf>
    <xf numFmtId="164" fontId="0" fillId="11" borderId="5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/>
    </xf>
    <xf numFmtId="164" fontId="4" fillId="4" borderId="5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164" fontId="4" fillId="4" borderId="7" applyAlignment="1" pivotButton="0" quotePrefix="0" xfId="0">
      <alignment horizontal="center"/>
    </xf>
    <xf numFmtId="0" fontId="4" fillId="4" borderId="8" applyAlignment="1" pivotButton="0" quotePrefix="0" xfId="0">
      <alignment horizontal="center"/>
    </xf>
    <xf numFmtId="164" fontId="0" fillId="9" borderId="7" applyAlignment="1" pivotButton="0" quotePrefix="0" xfId="0">
      <alignment horizontal="center" vertical="center"/>
    </xf>
    <xf numFmtId="0" fontId="0" fillId="9" borderId="8" applyAlignment="1" pivotButton="0" quotePrefix="0" xfId="0">
      <alignment horizontal="center"/>
    </xf>
    <xf numFmtId="164" fontId="0" fillId="9" borderId="5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/>
    </xf>
    <xf numFmtId="164" fontId="4" fillId="14" borderId="7" applyAlignment="1" pivotButton="0" quotePrefix="0" xfId="0">
      <alignment horizontal="center"/>
    </xf>
    <xf numFmtId="0" fontId="4" fillId="14" borderId="8" applyAlignment="1" pivotButton="0" quotePrefix="0" xfId="0">
      <alignment horizontal="center"/>
    </xf>
    <xf numFmtId="164" fontId="4" fillId="14" borderId="5" applyAlignment="1" pivotButton="0" quotePrefix="0" xfId="0">
      <alignment horizontal="center"/>
    </xf>
    <xf numFmtId="0" fontId="4" fillId="14" borderId="1" applyAlignment="1" pivotButton="0" quotePrefix="0" xfId="0">
      <alignment horizontal="center"/>
    </xf>
    <xf numFmtId="164" fontId="4" fillId="6" borderId="5" applyAlignment="1" pivotButton="0" quotePrefix="0" xfId="0">
      <alignment horizontal="center"/>
    </xf>
    <xf numFmtId="164" fontId="0" fillId="6" borderId="7" applyAlignment="1" pivotButton="0" quotePrefix="0" xfId="0">
      <alignment horizontal="center" vertical="center"/>
    </xf>
    <xf numFmtId="0" fontId="0" fillId="6" borderId="8" applyAlignment="1" pivotButton="0" quotePrefix="0" xfId="0">
      <alignment horizontal="center"/>
    </xf>
    <xf numFmtId="164" fontId="0" fillId="6" borderId="5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/>
    </xf>
    <xf numFmtId="164" fontId="4" fillId="6" borderId="7" applyAlignment="1" pivotButton="0" quotePrefix="0" xfId="0">
      <alignment horizontal="center"/>
    </xf>
    <xf numFmtId="0" fontId="4" fillId="6" borderId="8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5" borderId="8" applyAlignment="1" pivotButton="0" quotePrefix="0" xfId="0">
      <alignment horizontal="center"/>
    </xf>
    <xf numFmtId="164" fontId="0" fillId="16" borderId="5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/>
    </xf>
    <xf numFmtId="164" fontId="0" fillId="16" borderId="7" applyAlignment="1" pivotButton="0" quotePrefix="0" xfId="0">
      <alignment horizontal="center" vertical="center"/>
    </xf>
    <xf numFmtId="0" fontId="0" fillId="16" borderId="8" applyAlignment="1" pivotButton="0" quotePrefix="0" xfId="0">
      <alignment horizontal="center"/>
    </xf>
    <xf numFmtId="164" fontId="4" fillId="9" borderId="7" applyAlignment="1" pivotButton="0" quotePrefix="0" xfId="0">
      <alignment horizontal="center"/>
    </xf>
    <xf numFmtId="0" fontId="4" fillId="9" borderId="8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4" fillId="16" borderId="8" applyAlignment="1" pivotButton="0" quotePrefix="0" xfId="0">
      <alignment horizontal="center"/>
    </xf>
    <xf numFmtId="0" fontId="4" fillId="16" borderId="1" applyAlignment="1" pivotButton="0" quotePrefix="0" xfId="0">
      <alignment horizontal="center"/>
    </xf>
    <xf numFmtId="0" fontId="4" fillId="9" borderId="8" applyAlignment="1" pivotButton="0" quotePrefix="1" xfId="0">
      <alignment horizontal="center"/>
    </xf>
    <xf numFmtId="164" fontId="4" fillId="18" borderId="5" applyAlignment="1" pivotButton="0" quotePrefix="0" xfId="0">
      <alignment horizontal="center"/>
    </xf>
    <xf numFmtId="0" fontId="4" fillId="18" borderId="1" applyAlignment="1" pivotButton="0" quotePrefix="0" xfId="0">
      <alignment horizontal="center"/>
    </xf>
    <xf numFmtId="164" fontId="4" fillId="18" borderId="7" applyAlignment="1" pivotButton="0" quotePrefix="0" xfId="0">
      <alignment horizontal="center"/>
    </xf>
    <xf numFmtId="0" fontId="4" fillId="18" borderId="8" applyAlignment="1" pivotButton="0" quotePrefix="0" xfId="0">
      <alignment horizontal="center"/>
    </xf>
    <xf numFmtId="164" fontId="6" fillId="18" borderId="7" applyAlignment="1" pivotButton="0" quotePrefix="0" xfId="0">
      <alignment horizontal="center"/>
    </xf>
    <xf numFmtId="0" fontId="6" fillId="18" borderId="8" applyAlignment="1" pivotButton="0" quotePrefix="0" xfId="0">
      <alignment horizontal="center"/>
    </xf>
    <xf numFmtId="164" fontId="0" fillId="18" borderId="5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/>
    </xf>
    <xf numFmtId="164" fontId="0" fillId="18" borderId="7" applyAlignment="1" pivotButton="0" quotePrefix="0" xfId="0">
      <alignment horizontal="center" vertical="center"/>
    </xf>
    <xf numFmtId="0" fontId="0" fillId="18" borderId="8" applyAlignment="1" pivotButton="0" quotePrefix="0" xfId="0">
      <alignment horizontal="center"/>
    </xf>
    <xf numFmtId="164" fontId="2" fillId="19" borderId="5" applyAlignment="1" pivotButton="0" quotePrefix="0" xfId="0">
      <alignment horizontal="center"/>
    </xf>
    <xf numFmtId="0" fontId="2" fillId="19" borderId="1" applyAlignment="1" pivotButton="0" quotePrefix="0" xfId="0">
      <alignment horizontal="center"/>
    </xf>
    <xf numFmtId="0" fontId="4" fillId="19" borderId="1" applyAlignment="1" pivotButton="0" quotePrefix="0" xfId="0">
      <alignment horizontal="center"/>
    </xf>
    <xf numFmtId="164" fontId="0" fillId="19" borderId="5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/>
    </xf>
    <xf numFmtId="0" fontId="0" fillId="19" borderId="0" applyAlignment="1" pivotButton="0" quotePrefix="0" xfId="0">
      <alignment horizontal="center"/>
    </xf>
    <xf numFmtId="0" fontId="0" fillId="19" borderId="0" pivotButton="0" quotePrefix="0" xfId="0"/>
    <xf numFmtId="0" fontId="2" fillId="19" borderId="6" applyAlignment="1" pivotButton="0" quotePrefix="0" xfId="0">
      <alignment horizontal="center"/>
    </xf>
    <xf numFmtId="164" fontId="0" fillId="20" borderId="7" applyAlignment="1" pivotButton="0" quotePrefix="0" xfId="0">
      <alignment horizontal="center" vertical="center"/>
    </xf>
    <xf numFmtId="0" fontId="0" fillId="20" borderId="8" applyAlignment="1" pivotButton="0" quotePrefix="0" xfId="0">
      <alignment horizontal="center"/>
    </xf>
    <xf numFmtId="164" fontId="4" fillId="20" borderId="7" applyAlignment="1" pivotButton="0" quotePrefix="0" xfId="0">
      <alignment horizontal="center"/>
    </xf>
    <xf numFmtId="0" fontId="4" fillId="20" borderId="8" applyAlignment="1" pivotButton="0" quotePrefix="0" xfId="0">
      <alignment horizontal="center"/>
    </xf>
    <xf numFmtId="0" fontId="0" fillId="17" borderId="8" applyAlignment="1" pivotButton="0" quotePrefix="0" xfId="0">
      <alignment horizontal="center"/>
    </xf>
    <xf numFmtId="164" fontId="0" fillId="20" borderId="5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/>
    </xf>
    <xf numFmtId="164" fontId="4" fillId="21" borderId="7" applyAlignment="1" pivotButton="0" quotePrefix="0" xfId="0">
      <alignment horizontal="center"/>
    </xf>
    <xf numFmtId="0" fontId="4" fillId="21" borderId="8" applyAlignment="1" pivotButton="0" quotePrefix="0" xfId="0">
      <alignment horizontal="center"/>
    </xf>
    <xf numFmtId="0" fontId="0" fillId="22" borderId="1" applyAlignment="1" pivotButton="0" quotePrefix="0" xfId="0">
      <alignment horizontal="center"/>
    </xf>
    <xf numFmtId="164" fontId="0" fillId="21" borderId="5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/>
    </xf>
    <xf numFmtId="164" fontId="0" fillId="21" borderId="7" applyAlignment="1" pivotButton="0" quotePrefix="0" xfId="0">
      <alignment horizontal="center" vertical="center"/>
    </xf>
    <xf numFmtId="0" fontId="0" fillId="21" borderId="8" applyAlignment="1" pivotButton="0" quotePrefix="0" xfId="0">
      <alignment horizontal="center"/>
    </xf>
    <xf numFmtId="0" fontId="0" fillId="22" borderId="8" applyAlignment="1" pivotButton="0" quotePrefix="0" xfId="0">
      <alignment horizontal="center"/>
    </xf>
    <xf numFmtId="164" fontId="4" fillId="21" borderId="5" applyAlignment="1" pivotButton="0" quotePrefix="0" xfId="0">
      <alignment horizontal="center"/>
    </xf>
    <xf numFmtId="0" fontId="4" fillId="21" borderId="1" applyAlignment="1" pivotButton="0" quotePrefix="0" xfId="0">
      <alignment horizontal="center"/>
    </xf>
    <xf numFmtId="164" fontId="4" fillId="23" borderId="5" applyAlignment="1" pivotButton="0" quotePrefix="0" xfId="0">
      <alignment horizontal="center"/>
    </xf>
    <xf numFmtId="0" fontId="4" fillId="23" borderId="1" applyAlignment="1" pivotButton="0" quotePrefix="0" xfId="0">
      <alignment horizontal="center"/>
    </xf>
    <xf numFmtId="0" fontId="0" fillId="9" borderId="0" pivotButton="0" quotePrefix="0" xfId="0"/>
    <xf numFmtId="164" fontId="4" fillId="23" borderId="7" applyAlignment="1" pivotButton="0" quotePrefix="0" xfId="0">
      <alignment horizontal="center"/>
    </xf>
    <xf numFmtId="0" fontId="4" fillId="23" borderId="8" applyAlignment="1" pivotButton="0" quotePrefix="1" xfId="0">
      <alignment horizontal="center"/>
    </xf>
    <xf numFmtId="0" fontId="4" fillId="23" borderId="8" applyAlignment="1" pivotButton="0" quotePrefix="0" xfId="0">
      <alignment horizontal="center"/>
    </xf>
    <xf numFmtId="164" fontId="4" fillId="2" borderId="7" applyAlignment="1" pivotButton="0" quotePrefix="0" xfId="0">
      <alignment horizontal="center"/>
    </xf>
    <xf numFmtId="164" fontId="0" fillId="13" borderId="5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/>
    </xf>
    <xf numFmtId="164" fontId="4" fillId="13" borderId="7" applyAlignment="1" pivotButton="0" quotePrefix="0" xfId="0">
      <alignment horizontal="center"/>
    </xf>
    <xf numFmtId="164" fontId="0" fillId="13" borderId="7" applyAlignment="1" pivotButton="0" quotePrefix="0" xfId="0">
      <alignment horizontal="center" vertical="center"/>
    </xf>
    <xf numFmtId="0" fontId="0" fillId="13" borderId="8" applyAlignment="1" pivotButton="0" quotePrefix="0" xfId="0">
      <alignment horizontal="center"/>
    </xf>
    <xf numFmtId="0" fontId="2" fillId="10" borderId="4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164" fontId="2" fillId="13" borderId="5" applyAlignment="1" pivotButton="0" quotePrefix="0" xfId="0">
      <alignment horizontal="center"/>
    </xf>
    <xf numFmtId="0" fontId="4" fillId="22" borderId="8" applyAlignment="1" pivotButton="0" quotePrefix="0" xfId="0">
      <alignment horizontal="center"/>
    </xf>
    <xf numFmtId="0" fontId="4" fillId="22" borderId="1" applyAlignment="1" pivotButton="0" quotePrefix="0" xfId="0">
      <alignment horizontal="center"/>
    </xf>
    <xf numFmtId="164" fontId="6" fillId="13" borderId="7" applyAlignment="1" pivotButton="0" quotePrefix="0" xfId="0">
      <alignment horizontal="center"/>
    </xf>
    <xf numFmtId="0" fontId="6" fillId="13" borderId="8" applyAlignment="1" pivotButton="0" quotePrefix="0" xfId="0">
      <alignment horizontal="center"/>
    </xf>
    <xf numFmtId="164" fontId="4" fillId="24" borderId="5" applyAlignment="1" pivotButton="0" quotePrefix="0" xfId="0">
      <alignment horizontal="center"/>
    </xf>
    <xf numFmtId="0" fontId="4" fillId="24" borderId="1" applyAlignment="1" pivotButton="0" quotePrefix="0" xfId="0">
      <alignment horizontal="center"/>
    </xf>
    <xf numFmtId="164" fontId="0" fillId="24" borderId="5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/>
    </xf>
    <xf numFmtId="164" fontId="0" fillId="24" borderId="7" applyAlignment="1" pivotButton="0" quotePrefix="0" xfId="0">
      <alignment horizontal="center" vertical="center"/>
    </xf>
    <xf numFmtId="0" fontId="0" fillId="24" borderId="8" applyAlignment="1" pivotButton="0" quotePrefix="0" xfId="0">
      <alignment horizontal="center"/>
    </xf>
    <xf numFmtId="164" fontId="4" fillId="24" borderId="7" applyAlignment="1" pivotButton="0" quotePrefix="0" xfId="0">
      <alignment horizontal="center"/>
    </xf>
    <xf numFmtId="0" fontId="4" fillId="24" borderId="8" applyAlignment="1" pivotButton="0" quotePrefix="0" xfId="0">
      <alignment horizontal="center"/>
    </xf>
    <xf numFmtId="0" fontId="0" fillId="24" borderId="8" applyAlignment="1" pivotButton="0" quotePrefix="1" xfId="0">
      <alignment horizontal="center"/>
    </xf>
    <xf numFmtId="0" fontId="5" fillId="22" borderId="1" applyAlignment="1" pivotButton="0" quotePrefix="0" xfId="0">
      <alignment horizontal="center"/>
    </xf>
    <xf numFmtId="0" fontId="4" fillId="9" borderId="1" applyAlignment="1" pivotButton="0" quotePrefix="1" xfId="0">
      <alignment horizontal="center"/>
    </xf>
    <xf numFmtId="164" fontId="0" fillId="25" borderId="7" applyAlignment="1" pivotButton="0" quotePrefix="0" xfId="0">
      <alignment horizontal="center" vertical="center"/>
    </xf>
    <xf numFmtId="0" fontId="0" fillId="25" borderId="8" applyAlignment="1" pivotButton="0" quotePrefix="0" xfId="0">
      <alignment horizontal="center"/>
    </xf>
    <xf numFmtId="164" fontId="4" fillId="25" borderId="5" applyAlignment="1" pivotButton="0" quotePrefix="0" xfId="0">
      <alignment horizontal="center"/>
    </xf>
    <xf numFmtId="0" fontId="4" fillId="25" borderId="1" applyAlignment="1" pivotButton="0" quotePrefix="0" xfId="0">
      <alignment horizontal="center"/>
    </xf>
    <xf numFmtId="164" fontId="0" fillId="25" borderId="5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/>
    </xf>
    <xf numFmtId="164" fontId="4" fillId="25" borderId="7" applyAlignment="1" pivotButton="0" quotePrefix="0" xfId="0">
      <alignment horizontal="center"/>
    </xf>
    <xf numFmtId="0" fontId="4" fillId="25" borderId="8" applyAlignment="1" pivotButton="0" quotePrefix="0" xfId="0">
      <alignment horizontal="center"/>
    </xf>
    <xf numFmtId="0" fontId="4" fillId="26" borderId="1" applyAlignment="1" pivotButton="0" quotePrefix="0" xfId="0">
      <alignment horizontal="center"/>
    </xf>
    <xf numFmtId="0" fontId="0" fillId="26" borderId="1" applyAlignment="1" pivotButton="0" quotePrefix="0" xfId="0">
      <alignment horizontal="center"/>
    </xf>
    <xf numFmtId="0" fontId="4" fillId="26" borderId="8" applyAlignment="1" pivotButton="0" quotePrefix="0" xfId="0">
      <alignment horizontal="center"/>
    </xf>
    <xf numFmtId="0" fontId="0" fillId="26" borderId="8" applyAlignment="1" pivotButton="0" quotePrefix="0" xfId="0">
      <alignment horizontal="center"/>
    </xf>
    <xf numFmtId="164" fontId="6" fillId="24" borderId="5" applyAlignment="1" pivotButton="0" quotePrefix="0" xfId="0">
      <alignment horizontal="center"/>
    </xf>
    <xf numFmtId="0" fontId="6" fillId="24" borderId="1" applyAlignment="1" pivotButton="0" quotePrefix="0" xfId="0">
      <alignment horizontal="center"/>
    </xf>
    <xf numFmtId="164" fontId="4" fillId="2" borderId="5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164" fontId="0" fillId="23" borderId="5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/>
    </xf>
    <xf numFmtId="164" fontId="0" fillId="23" borderId="7" applyAlignment="1" pivotButton="0" quotePrefix="0" xfId="0">
      <alignment horizontal="center" vertical="center"/>
    </xf>
    <xf numFmtId="0" fontId="0" fillId="23" borderId="8" applyAlignment="1" pivotButton="0" quotePrefix="0" xfId="0">
      <alignment horizontal="center"/>
    </xf>
    <xf numFmtId="164" fontId="8" fillId="24" borderId="5" applyAlignment="1" pivotButton="0" quotePrefix="0" xfId="0">
      <alignment horizontal="center" vertical="center"/>
    </xf>
    <xf numFmtId="0" fontId="8" fillId="24" borderId="1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164" fontId="0" fillId="2" borderId="7" applyAlignment="1" pivotButton="0" quotePrefix="0" xfId="0">
      <alignment horizontal="center" vertical="center"/>
    </xf>
    <xf numFmtId="164" fontId="5" fillId="9" borderId="5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/>
    </xf>
    <xf numFmtId="164" fontId="4" fillId="28" borderId="5" applyAlignment="1" pivotButton="0" quotePrefix="0" xfId="0">
      <alignment horizontal="center"/>
    </xf>
    <xf numFmtId="0" fontId="4" fillId="28" borderId="1" applyAlignment="1" pivotButton="0" quotePrefix="0" xfId="0">
      <alignment horizontal="center"/>
    </xf>
    <xf numFmtId="0" fontId="6" fillId="28" borderId="1" applyAlignment="1" pivotButton="0" quotePrefix="0" xfId="0">
      <alignment horizontal="center"/>
    </xf>
    <xf numFmtId="164" fontId="6" fillId="27" borderId="5" applyAlignment="1" pivotButton="0" quotePrefix="0" xfId="0">
      <alignment horizontal="center"/>
    </xf>
    <xf numFmtId="0" fontId="6" fillId="27" borderId="1" applyAlignment="1" pivotButton="0" quotePrefix="0" xfId="0">
      <alignment horizontal="center"/>
    </xf>
    <xf numFmtId="164" fontId="4" fillId="27" borderId="5" applyAlignment="1" pivotButton="0" quotePrefix="0" xfId="0">
      <alignment horizontal="center"/>
    </xf>
    <xf numFmtId="0" fontId="4" fillId="27" borderId="1" applyAlignment="1" pivotButton="0" quotePrefix="0" xfId="0">
      <alignment horizontal="center"/>
    </xf>
    <xf numFmtId="164" fontId="6" fillId="29" borderId="5" applyAlignment="1" pivotButton="0" quotePrefix="0" xfId="0">
      <alignment horizontal="center"/>
    </xf>
    <xf numFmtId="0" fontId="6" fillId="29" borderId="1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164" fontId="4" fillId="29" borderId="5" applyAlignment="1" pivotButton="0" quotePrefix="0" xfId="0">
      <alignment horizontal="center"/>
    </xf>
    <xf numFmtId="0" fontId="4" fillId="29" borderId="1" applyAlignment="1" pivotButton="0" quotePrefix="0" xfId="0">
      <alignment horizontal="center"/>
    </xf>
    <xf numFmtId="0" fontId="0" fillId="24" borderId="1" applyAlignment="1" pivotButton="0" quotePrefix="1" xfId="0">
      <alignment horizontal="center"/>
    </xf>
    <xf numFmtId="164" fontId="4" fillId="30" borderId="5" applyAlignment="1" pivotButton="0" quotePrefix="0" xfId="0">
      <alignment horizontal="center"/>
    </xf>
    <xf numFmtId="0" fontId="4" fillId="30" borderId="1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2" borderId="5" applyAlignment="1" pivotButton="0" quotePrefix="0" xfId="0">
      <alignment horizontal="center" vertical="center"/>
    </xf>
    <xf numFmtId="164" fontId="0" fillId="31" borderId="5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/>
    </xf>
    <xf numFmtId="164" fontId="4" fillId="31" borderId="5" applyAlignment="1" pivotButton="0" quotePrefix="0" xfId="0">
      <alignment horizontal="center"/>
    </xf>
    <xf numFmtId="0" fontId="4" fillId="31" borderId="1" applyAlignment="1" pivotButton="0" quotePrefix="0" xfId="0">
      <alignment horizontal="center"/>
    </xf>
    <xf numFmtId="0" fontId="2" fillId="31" borderId="1" applyAlignment="1" pivotButton="0" quotePrefix="0" xfId="0">
      <alignment horizontal="center"/>
    </xf>
    <xf numFmtId="164" fontId="2" fillId="31" borderId="5" applyAlignment="1" pivotButton="0" quotePrefix="0" xfId="0">
      <alignment horizontal="center"/>
    </xf>
    <xf numFmtId="164" fontId="2" fillId="2" borderId="5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4" borderId="1" applyAlignment="1" pivotButton="0" quotePrefix="0" xfId="0">
      <alignment horizontal="center"/>
    </xf>
    <xf numFmtId="164" fontId="2" fillId="24" borderId="5" applyAlignment="1" pivotButton="0" quotePrefix="0" xfId="0">
      <alignment horizontal="center"/>
    </xf>
    <xf numFmtId="0" fontId="2" fillId="22" borderId="1" applyAlignment="1" pivotButton="0" quotePrefix="0" xfId="0">
      <alignment horizontal="center"/>
    </xf>
    <xf numFmtId="164" fontId="9" fillId="2" borderId="5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9" fillId="24" borderId="1" applyAlignment="1" pivotButton="0" quotePrefix="0" xfId="0">
      <alignment horizontal="center"/>
    </xf>
    <xf numFmtId="164" fontId="9" fillId="24" borderId="5" applyAlignment="1" pivotButton="0" quotePrefix="0" xfId="0">
      <alignment horizontal="center"/>
    </xf>
    <xf numFmtId="164" fontId="9" fillId="31" borderId="5" applyAlignment="1" pivotButton="0" quotePrefix="0" xfId="0">
      <alignment horizontal="center"/>
    </xf>
    <xf numFmtId="0" fontId="9" fillId="31" borderId="1" applyAlignment="1" pivotButton="0" quotePrefix="0" xfId="0">
      <alignment horizontal="center"/>
    </xf>
    <xf numFmtId="0" fontId="9" fillId="22" borderId="1" applyAlignment="1" pivotButton="0" quotePrefix="0" xfId="0">
      <alignment horizontal="center"/>
    </xf>
    <xf numFmtId="164" fontId="9" fillId="32" borderId="5" applyAlignment="1" pivotButton="0" quotePrefix="0" xfId="0">
      <alignment horizontal="center"/>
    </xf>
    <xf numFmtId="0" fontId="9" fillId="32" borderId="1" applyAlignment="1" pivotButton="0" quotePrefix="0" xfId="0">
      <alignment horizontal="center"/>
    </xf>
    <xf numFmtId="164" fontId="4" fillId="32" borderId="5" applyAlignment="1" pivotButton="0" quotePrefix="0" xfId="0">
      <alignment horizontal="center"/>
    </xf>
    <xf numFmtId="0" fontId="4" fillId="32" borderId="1" applyAlignment="1" pivotButton="0" quotePrefix="0" xfId="0">
      <alignment horizontal="center"/>
    </xf>
    <xf numFmtId="0" fontId="10" fillId="31" borderId="1" applyAlignment="1" pivotButton="0" quotePrefix="0" xfId="0">
      <alignment horizontal="center"/>
    </xf>
    <xf numFmtId="0" fontId="0" fillId="31" borderId="0" applyAlignment="1" pivotButton="0" quotePrefix="0" xfId="0">
      <alignment horizontal="center"/>
    </xf>
    <xf numFmtId="0" fontId="0" fillId="31" borderId="0" pivotButton="0" quotePrefix="0" xfId="0"/>
    <xf numFmtId="0" fontId="5" fillId="2" borderId="1" applyAlignment="1" pivotButton="0" quotePrefix="0" xfId="0">
      <alignment horizontal="center"/>
    </xf>
    <xf numFmtId="164" fontId="0" fillId="8" borderId="5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164" fontId="10" fillId="8" borderId="5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0" fillId="8" borderId="0" pivotButton="0" quotePrefix="0" xfId="0"/>
    <xf numFmtId="164" fontId="6" fillId="8" borderId="5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164" fontId="2" fillId="0" borderId="5" applyAlignment="1" pivotButton="0" quotePrefix="0" xfId="0">
      <alignment horizontal="center"/>
    </xf>
  </cellXfs>
  <cellStyles count="1">
    <cellStyle name="Звичайний" xfId="0" builtinId="0"/>
  </cellStyles>
  <dxfs count="134"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/>
      <border outline="0">
        <left/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/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/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/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/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/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/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dd\.mm\.yyyy;@"/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Times New Roman"/>
        <strike val="0"/>
        <outline val="0"/>
        <shadow val="0"/>
        <color theme="1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strike val="0"/>
        <outline val="0"/>
        <shadow val="0"/>
        <color theme="1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strike val="0"/>
        <outline val="0"/>
        <shadow val="0"/>
        <color theme="1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strike val="0"/>
        <outline val="0"/>
        <shadow val="0"/>
        <color theme="1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strike val="0"/>
        <outline val="0"/>
        <shadow val="0"/>
        <color theme="1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strike val="0"/>
        <outline val="0"/>
        <shadow val="0"/>
        <color theme="1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strike val="0"/>
        <outline val="0"/>
        <shadow val="0"/>
        <color theme="1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strike val="0"/>
        <outline val="0"/>
        <shadow val="0"/>
        <color theme="1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strike val="0"/>
        <outline val="0"/>
        <shadow val="0"/>
        <color theme="1"/>
        <sz val="12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strike val="0"/>
        <outline val="0"/>
        <shadow val="0"/>
        <color theme="1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strike val="0"/>
        <outline val="0"/>
        <shadow val="0"/>
        <color theme="1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strike val="0"/>
        <outline val="0"/>
        <shadow val="0"/>
        <color theme="1"/>
        <sz val="12"/>
        <vertAlign val="baseline"/>
      </font>
      <numFmt numFmtId="164" formatCode="dd\.mm\.yyyy;@"/>
      <fill>
        <patternFill patternType="solid">
          <fgColor indexed="64"/>
          <bgColor theme="0"/>
        </patternFill>
      </fill>
      <alignment horizontal="center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strike val="0"/>
        <outline val="0"/>
        <shadow val="0"/>
        <color theme="1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</dxf>
    <dxf>
      <border>
        <bottom style="thin">
          <color indexed="64"/>
        </bottom>
      </border>
    </dxf>
    <dxf>
      <alignment horizontal="center" vertical="bottom"/>
      <border>
        <left style="thin">
          <color indexed="64"/>
        </left>
        <right style="thin">
          <color indexed="64"/>
        </right>
        <top/>
        <bottom/>
      </border>
    </dxf>
    <dxf>
      <font>
        <name val="Times New Roman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strike val="0"/>
        <outline val="0"/>
        <shadow val="0"/>
        <color theme="1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strike val="0"/>
        <outline val="0"/>
        <shadow val="0"/>
        <color theme="1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strike val="0"/>
        <outline val="0"/>
        <shadow val="0"/>
        <color theme="1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strike val="0"/>
        <outline val="0"/>
        <shadow val="0"/>
        <color theme="1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strike val="0"/>
        <outline val="0"/>
        <shadow val="0"/>
        <color theme="1"/>
        <sz val="12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strike val="0"/>
        <outline val="0"/>
        <shadow val="0"/>
        <color theme="1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strike val="0"/>
        <outline val="0"/>
        <shadow val="0"/>
        <color theme="1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strike val="0"/>
        <outline val="0"/>
        <shadow val="0"/>
        <color theme="1"/>
        <sz val="12"/>
        <vertAlign val="baseline"/>
      </font>
      <numFmt numFmtId="164" formatCode="dd\.mm\.yyyy;@"/>
      <fill>
        <patternFill patternType="solid">
          <fgColor indexed="64"/>
          <bgColor theme="0"/>
        </patternFill>
      </fill>
      <alignment horizontal="center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strike val="0"/>
        <outline val="0"/>
        <shadow val="0"/>
        <color theme="1"/>
        <sz val="12"/>
        <vertAlign val="baseline"/>
      </font>
      <fill>
        <patternFill patternType="solid">
          <fgColor indexed="64"/>
          <bgColor theme="0"/>
        </patternFill>
      </fill>
      <alignment horizontal="center" vertical="bottom"/>
    </dxf>
    <dxf>
      <border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Таблиця1" displayName="Таблиця1" ref="A1:P33" headerRowCount="1" totalsRowCount="1" headerRowDxfId="108" dataDxfId="106" headerRowBorderDxfId="107" tableBorderDxfId="105" totalsRowBorderDxfId="104">
  <autoFilter ref="A1:P32"/>
  <tableColumns count="16">
    <tableColumn id="1" name="Дата" totalsRowLabel="Підсумок" dataDxfId="103" totalsRowDxfId="39"/>
    <tableColumn id="2" name="АУ " totalsRowFunction="sum" dataDxfId="102" totalsRowDxfId="38"/>
    <tableColumn id="3" name="Mi-8" totalsRowFunction="sum" dataDxfId="101" totalsRowDxfId="37"/>
    <tableColumn id="4" name="Mi-24" totalsRowFunction="sum" dataDxfId="100" totalsRowDxfId="36"/>
    <tableColumn id="5" name="ARS-8" totalsRowFunction="sum" dataDxfId="99" totalsRowDxfId="35"/>
    <tableColumn id="11" name="С-8 ком" totalsRowFunction="sum" dataDxfId="98" totalsRowDxfId="34"/>
    <tableColumn id="6" name="PC-80" totalsRowFunction="sum" dataDxfId="97" totalsRowDxfId="33"/>
    <tableColumn id="7" name="UAR-80" totalsRowFunction="sum" dataDxfId="96" totalsRowDxfId="32"/>
    <tableColumn id="8" name="C-13" totalsRowFunction="sum" dataDxfId="95" totalsRowDxfId="31"/>
    <tableColumn id="9" name="Hydra-70" totalsRowFunction="sum" dataDxfId="94" totalsRowDxfId="30"/>
    <tableColumn id="10" name="Thales-70" totalsRowFunction="sum" dataDxfId="93" totalsRowDxfId="29"/>
    <tableColumn id="16" name="Thales-FZ" totalsRowFunction="sum" dataDxfId="92" totalsRowDxfId="28"/>
    <tableColumn id="15" name="МК-40" totalsRowFunction="sum" dataDxfId="91" totalsRowDxfId="27"/>
    <tableColumn id="14" name="Zuni" totalsRowFunction="sum" dataDxfId="90" totalsRowDxfId="26"/>
    <tableColumn id="12" name="Уражено" totalsRowFunction="sum" dataDxfId="89" totalsRowDxfId="25"/>
    <tableColumn id="13" name="НЕ уражено" totalsRowFunction="sum" dataDxfId="88" totalsRow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Таблиця16" displayName="Таблиця16" ref="A1:T33" headerRowCount="1" totalsRowCount="1" headerRowDxfId="133" dataDxfId="131" headerRowBorderDxfId="132" tableBorderDxfId="130" totalsRowBorderDxfId="129">
  <autoFilter ref="A1:T32"/>
  <tableColumns count="20">
    <tableColumn id="1" name="Дата" totalsRowLabel="Підсумок" dataDxfId="128" totalsRowDxfId="59"/>
    <tableColumn id="2" name="АУ " totalsRowFunction="sum" dataDxfId="127" totalsRowDxfId="58"/>
    <tableColumn id="20" name="Mirage" totalsRowFunction="sum" dataDxfId="126" totalsRowDxfId="57"/>
    <tableColumn id="16" name="F-16" totalsRowFunction="sum" dataDxfId="125" totalsRowDxfId="56"/>
    <tableColumn id="3" name="МіГ-29" totalsRowFunction="sum" dataDxfId="124" totalsRowDxfId="55"/>
    <tableColumn id="11" name="Су-25" totalsRowFunction="sum" dataDxfId="123" totalsRowDxfId="54"/>
    <tableColumn id="4" name="Су-27" totalsRowFunction="sum" dataDxfId="122" totalsRowDxfId="53"/>
    <tableColumn id="5" name="AGM-88" totalsRowFunction="sum" dataDxfId="121" totalsRowDxfId="52"/>
    <tableColumn id="6" name="AASM-250" totalsRowFunction="sum" dataDxfId="120" totalsRowDxfId="51"/>
    <tableColumn id="7" name="GBU-39" totalsRowFunction="sum" dataDxfId="119" totalsRowDxfId="50"/>
    <tableColumn id="17" name="BLU-140" totalsRowFunction="sum" dataDxfId="118" totalsRowDxfId="49"/>
    <tableColumn id="19" name="GBU-65" totalsRowFunction="sum" dataDxfId="117" totalsRowDxfId="48"/>
    <tableColumn id="14" name="GBU-62" totalsRowFunction="sum" dataDxfId="116" totalsRowDxfId="47"/>
    <tableColumn id="18" name="GBU-64" totalsRowFunction="sum" dataDxfId="115" totalsRowDxfId="46"/>
    <tableColumn id="13" name="C-13" totalsRowFunction="sum" dataDxfId="114" totalsRowDxfId="45"/>
    <tableColumn id="12" name="MK-32" totalsRowFunction="sum" dataDxfId="113" totalsRowDxfId="44"/>
    <tableColumn id="8" name="MK-24" totalsRowFunction="sum" dataDxfId="112" totalsRowDxfId="43"/>
    <tableColumn id="9" name="Уражено" totalsRowFunction="sum" dataDxfId="111" totalsRowDxfId="42"/>
    <tableColumn id="10" name="НЕ уражено" totalsRowFunction="sum" dataDxfId="110" totalsRowDxfId="41"/>
    <tableColumn id="15" name="Дорозвідується" totalsRowFunction="sum" dataDxfId="109" totalsRowDxfId="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Таблиця2" displayName="Таблиця2" ref="A1:X33" headerRowCount="1" totalsRowCount="1" headerRowDxfId="87" headerRowBorderDxfId="86" tableBorderDxfId="85" totalsRowBorderDxfId="84">
  <autoFilter ref="A1:X32"/>
  <tableColumns count="24">
    <tableColumn id="1" name="Дата" totalsRowLabel="Підсумок" dataDxfId="83" totalsRowDxfId="23"/>
    <tableColumn id="2" name="ЖС ВЗ" totalsRowFunction="sum" dataDxfId="82" totalsRowDxfId="22"/>
    <tableColumn id="22" name="Арт. Системи" totalsRowFunction="sum" dataDxfId="81" totalsRowDxfId="21"/>
    <tableColumn id="3" name="ОВТ" totalsRowFunction="sum" dataDxfId="80" totalsRowDxfId="20"/>
    <tableColumn id="4" name="ППО" totalsRowFunction="sum" dataDxfId="79" totalsRowDxfId="19"/>
    <tableColumn id="5" name="Рембаза" totalsRowFunction="sum" dataDxfId="78" totalsRowDxfId="18"/>
    <tableColumn id="6" name="Склад БК" totalsRowFunction="sum" dataDxfId="77" totalsRowDxfId="17"/>
    <tableColumn id="7" name="Склад ВТМ" totalsRowFunction="sum" dataDxfId="76" totalsRowDxfId="16"/>
    <tableColumn id="8" name="ПУ БпЛА" totalsRowFunction="sum" dataDxfId="75" totalsRowDxfId="15"/>
    <tableColumn id="25" name="СП" totalsRowFunction="sum" dataDxfId="74" totalsRowDxfId="14"/>
    <tableColumn id="20" name="КСП роти" totalsRowFunction="sum" dataDxfId="73" totalsRowDxfId="13"/>
    <tableColumn id="9" name="ПУ бат" totalsRowFunction="sum" dataDxfId="72" totalsRowDxfId="12"/>
    <tableColumn id="10" name="ПУ бриг" totalsRowFunction="sum" dataDxfId="71" totalsRowDxfId="11"/>
    <tableColumn id="11" name="ПУ див" totalsRowFunction="sum" dataDxfId="70" totalsRowDxfId="10"/>
    <tableColumn id="12" name="обл. РЕБ" totalsRowFunction="sum" dataDxfId="69" totalsRowDxfId="9"/>
    <tableColumn id="21" name="пос РЕБ" totalsRowFunction="sum" dataDxfId="68" totalsRowDxfId="8"/>
    <tableColumn id="24" name="група РЕР" totalsRowFunction="sum" dataDxfId="67" totalsRowDxfId="7"/>
    <tableColumn id="13" name="РЛС КББ" totalsRowFunction="sum" dataDxfId="66" totalsRowDxfId="6"/>
    <tableColumn id="14" name="Ретранслятор" totalsRowFunction="sum" dataDxfId="65" totalsRowDxfId="5"/>
    <tableColumn id="23" name="Вз.зв'язку" totalsRowFunction="sum" dataDxfId="64" totalsRowDxfId="4"/>
    <tableColumn id="18" name="ПММ" totalsRowFunction="sum" dataDxfId="63" totalsRowDxfId="3"/>
    <tableColumn id="16" name="ІФС" totalsRowFunction="sum" dataDxfId="62" totalsRowDxfId="2"/>
    <tableColumn id="17" name="Інфраструктура" totalsRowFunction="sum" dataDxfId="61" totalsRowDxfId="1"/>
    <tableColumn id="15" name="Витрата" totalsRowFunction="sum" dataDxfId="60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topLeftCell="A690" zoomScale="115" zoomScaleNormal="115" workbookViewId="0">
      <selection activeCell="A2" sqref="A2"/>
    </sheetView>
  </sheetViews>
  <sheetFormatPr baseColWidth="8" defaultRowHeight="14.4"/>
  <cols>
    <col width="12.1015625" customWidth="1" style="1" min="1" max="1"/>
    <col width="7.3125" customWidth="1" min="2" max="2"/>
    <col width="9.5234375" customWidth="1" min="3" max="3"/>
    <col width="10.3125" customWidth="1" style="2" min="4" max="4"/>
    <col width="8.20703125" customWidth="1" min="5" max="5"/>
    <col width="10.3671875" customWidth="1" min="6" max="6"/>
    <col width="9.41796875" customWidth="1" min="7" max="7"/>
    <col width="9.1015625" customWidth="1" min="8" max="8"/>
    <col width="6.9453125" customWidth="1" style="2" min="9" max="9"/>
    <col width="10.68359375" customWidth="1" min="10" max="10"/>
    <col width="10.7890625" customWidth="1" min="11" max="11"/>
    <col width="10.20703125" customWidth="1" min="12" max="12"/>
    <col width="8.578125" customWidth="1" min="13" max="13"/>
  </cols>
  <sheetData>
    <row r="1" ht="14.1" customFormat="1" customHeight="1" s="3">
      <c r="A1" s="4" t="inlineStr">
        <is>
          <t>Дата</t>
        </is>
      </c>
      <c r="B1" s="5" t="inlineStr">
        <is>
          <t xml:space="preserve">АУ </t>
        </is>
      </c>
      <c r="C1" s="5" t="inlineStr">
        <is>
          <t>Mi-8</t>
        </is>
      </c>
      <c r="D1" s="5" t="inlineStr">
        <is>
          <t>Mi-24</t>
        </is>
      </c>
      <c r="E1" s="5" t="inlineStr">
        <is>
          <t>ARS-8</t>
        </is>
      </c>
      <c r="F1" s="5" t="inlineStr">
        <is>
          <t>С-8 ком</t>
        </is>
      </c>
      <c r="G1" s="5" t="inlineStr">
        <is>
          <t>PC-80</t>
        </is>
      </c>
      <c r="H1" s="5" t="inlineStr">
        <is>
          <t>UAR-80</t>
        </is>
      </c>
      <c r="I1" s="5" t="inlineStr">
        <is>
          <t>C-13</t>
        </is>
      </c>
      <c r="J1" s="5" t="inlineStr">
        <is>
          <t>Hydra-70</t>
        </is>
      </c>
      <c r="K1" s="6" t="inlineStr">
        <is>
          <t>Thales-70</t>
        </is>
      </c>
      <c r="L1" s="6" t="inlineStr">
        <is>
          <t>Thales-FZ</t>
        </is>
      </c>
      <c r="M1" s="6" t="inlineStr">
        <is>
          <t>МК-40</t>
        </is>
      </c>
      <c r="N1" s="6" t="inlineStr">
        <is>
          <t>Zuni</t>
        </is>
      </c>
      <c r="O1" s="39" t="inlineStr">
        <is>
          <t>Уражено</t>
        </is>
      </c>
      <c r="P1" s="39" t="inlineStr">
        <is>
          <t>НЕ уражено</t>
        </is>
      </c>
    </row>
    <row r="2">
      <c r="A2" s="270" t="n"/>
    </row>
    <row r="3">
      <c r="A3" s="270" t="n"/>
    </row>
    <row r="4">
      <c r="A4" s="270" t="n"/>
    </row>
    <row r="5">
      <c r="A5" s="270" t="n"/>
    </row>
    <row r="6">
      <c r="A6" s="270" t="n"/>
    </row>
    <row r="7">
      <c r="A7" s="270" t="n"/>
    </row>
    <row r="8">
      <c r="A8" s="270" t="n"/>
    </row>
    <row r="9">
      <c r="A9" s="270" t="n"/>
    </row>
    <row r="10">
      <c r="A10" s="270" t="n"/>
    </row>
    <row r="11">
      <c r="A11" s="270" t="n"/>
    </row>
    <row r="12">
      <c r="A12" s="270" t="n"/>
    </row>
    <row r="13">
      <c r="A13" s="270" t="n"/>
    </row>
    <row r="14">
      <c r="A14" s="270" t="n"/>
    </row>
    <row r="15">
      <c r="A15" s="270" t="n"/>
    </row>
    <row r="16">
      <c r="A16" s="270" t="n"/>
    </row>
    <row r="17">
      <c r="A17" s="270" t="n"/>
    </row>
    <row r="18">
      <c r="A18" s="270" t="n"/>
    </row>
    <row r="19">
      <c r="A19" s="270" t="n"/>
    </row>
    <row r="20">
      <c r="A20" s="270" t="n"/>
    </row>
    <row r="21">
      <c r="A21" s="270" t="n"/>
    </row>
    <row r="22">
      <c r="A22" s="270" t="n"/>
    </row>
    <row r="23">
      <c r="A23" s="270" t="n"/>
    </row>
    <row r="24">
      <c r="A24" s="270" t="n"/>
    </row>
    <row r="25">
      <c r="A25" s="270" t="n"/>
    </row>
    <row r="26">
      <c r="A26" s="270" t="n"/>
    </row>
    <row r="27">
      <c r="A27" s="270" t="n"/>
    </row>
    <row r="28">
      <c r="A28" s="270" t="n"/>
    </row>
    <row r="29">
      <c r="A29" s="270" t="n"/>
    </row>
    <row r="30">
      <c r="A30" s="270" t="n"/>
    </row>
    <row r="31">
      <c r="A31" s="270" t="n"/>
    </row>
    <row r="32">
      <c r="A32" s="270" t="n"/>
    </row>
    <row r="33">
      <c r="A33" s="55" t="inlineStr">
        <is>
          <t>Підсумок</t>
        </is>
      </c>
      <c r="B33" s="33">
        <f>SUBTOTAL(109,Таблиця1[[АУ ]])</f>
        <v/>
      </c>
      <c r="C33" s="33">
        <f>SUBTOTAL(109,Таблиця1[Mi-8])</f>
        <v/>
      </c>
      <c r="D33" s="33">
        <f>SUBTOTAL(109,Таблиця1[Mi-24])</f>
        <v/>
      </c>
      <c r="E33" s="33">
        <f>SUBTOTAL(109,Таблиця1[ARS-8])</f>
        <v/>
      </c>
      <c r="F33" s="33">
        <f>SUBTOTAL(109,Таблиця1[С-8 ком])</f>
        <v/>
      </c>
      <c r="G33" s="33">
        <f>SUBTOTAL(109,Таблиця1[PC-80])</f>
        <v/>
      </c>
      <c r="H33" s="33">
        <f>SUBTOTAL(109,Таблиця1[UAR-80])</f>
        <v/>
      </c>
      <c r="I33" s="33">
        <f>SUBTOTAL(109,Таблиця1[C-13])</f>
        <v/>
      </c>
      <c r="J33" s="33">
        <f>SUBTOTAL(109,Таблиця1[Hydra-70])</f>
        <v/>
      </c>
      <c r="K33" s="34">
        <f>SUBTOTAL(109,Таблиця1[Thales-70])</f>
        <v/>
      </c>
      <c r="L33" s="34">
        <f>SUBTOTAL(109,Таблиця1[Thales-FZ])</f>
        <v/>
      </c>
      <c r="M33" s="34">
        <f>SUBTOTAL(109,Таблиця1[МК-40])</f>
        <v/>
      </c>
      <c r="N33" s="172">
        <f>SUBTOTAL(109,Таблиця1[Zuni])</f>
        <v/>
      </c>
      <c r="O33" s="33">
        <f>SUBTOTAL(109,Таблиця1[Уражено])</f>
        <v/>
      </c>
      <c r="P33" s="33">
        <f>SUBTOTAL(109,Таблиця1[НЕ уражено])</f>
        <v/>
      </c>
    </row>
  </sheetData>
  <pageMargins left="0.7" right="0.7" top="0.75" bottom="0.75" header="0.3" footer="0.3"/>
  <pageSetup orientation="portrait" paperSize="9" horizontalDpi="4294967293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3"/>
  <sheetViews>
    <sheetView topLeftCell="A4" zoomScale="81" zoomScaleNormal="81" workbookViewId="0">
      <selection activeCell="A2" sqref="A2"/>
    </sheetView>
  </sheetViews>
  <sheetFormatPr baseColWidth="8" defaultRowHeight="14.4"/>
  <cols>
    <col width="12.1015625" customWidth="1" min="1" max="1"/>
    <col width="7" customWidth="1" min="2" max="3"/>
    <col width="8.5234375" customWidth="1" min="4" max="4"/>
    <col width="7.7890625" customWidth="1" min="5" max="5"/>
    <col width="8.1015625" customWidth="1" min="6" max="6"/>
    <col width="10" customWidth="1" min="7" max="7"/>
    <col width="11.1015625" customWidth="1" min="8" max="8"/>
    <col width="8.89453125" customWidth="1" min="9" max="9"/>
    <col width="10.1015625" customWidth="1" min="10" max="10"/>
    <col width="9.89453125" customWidth="1" min="11" max="11"/>
    <col width="8.89453125" customWidth="1" min="12" max="12"/>
    <col width="9.1015625" customWidth="1" min="13" max="14"/>
    <col width="11.3125" customWidth="1" min="15" max="15"/>
    <col width="12.89453125" customWidth="1" min="16" max="16"/>
    <col width="12.5234375" customWidth="1" min="17" max="17"/>
  </cols>
  <sheetData>
    <row r="1">
      <c r="A1" s="27" t="inlineStr">
        <is>
          <t>Дата</t>
        </is>
      </c>
      <c r="B1" s="28" t="inlineStr">
        <is>
          <t xml:space="preserve">АУ </t>
        </is>
      </c>
      <c r="C1" s="28" t="inlineStr">
        <is>
          <t>Mirage</t>
        </is>
      </c>
      <c r="D1" s="28" t="inlineStr">
        <is>
          <t>F-16</t>
        </is>
      </c>
      <c r="E1" s="28" t="inlineStr">
        <is>
          <t>МіГ-29</t>
        </is>
      </c>
      <c r="F1" s="28" t="inlineStr">
        <is>
          <t>Су-25</t>
        </is>
      </c>
      <c r="G1" s="28" t="inlineStr">
        <is>
          <t>Су-27</t>
        </is>
      </c>
      <c r="H1" s="28" t="inlineStr">
        <is>
          <t>AGM-88</t>
        </is>
      </c>
      <c r="I1" s="28" t="inlineStr">
        <is>
          <t>AASM-250</t>
        </is>
      </c>
      <c r="J1" s="28" t="inlineStr">
        <is>
          <t>GBU-39</t>
        </is>
      </c>
      <c r="K1" s="28" t="inlineStr">
        <is>
          <t>BLU-140</t>
        </is>
      </c>
      <c r="L1" s="28" t="inlineStr">
        <is>
          <t>GBU-65</t>
        </is>
      </c>
      <c r="M1" s="28" t="inlineStr">
        <is>
          <t>GBU-62</t>
        </is>
      </c>
      <c r="N1" s="28" t="inlineStr">
        <is>
          <t>GBU-64</t>
        </is>
      </c>
      <c r="O1" s="28" t="inlineStr">
        <is>
          <t>C-13</t>
        </is>
      </c>
      <c r="P1" s="28" t="inlineStr">
        <is>
          <t>MK-32</t>
        </is>
      </c>
      <c r="Q1" s="28" t="inlineStr">
        <is>
          <t>MK-24</t>
        </is>
      </c>
      <c r="R1" s="40" t="inlineStr">
        <is>
          <t>Уражено</t>
        </is>
      </c>
      <c r="S1" s="40" t="inlineStr">
        <is>
          <t>НЕ уражено</t>
        </is>
      </c>
      <c r="T1" s="40" t="inlineStr">
        <is>
          <t>Дорозвідується</t>
        </is>
      </c>
    </row>
    <row r="2">
      <c r="A2" s="270" t="n"/>
    </row>
    <row r="3">
      <c r="A3" s="270" t="n"/>
    </row>
    <row r="4">
      <c r="A4" s="270" t="n"/>
    </row>
    <row r="5">
      <c r="A5" s="270" t="n"/>
    </row>
    <row r="6">
      <c r="A6" s="270" t="n"/>
    </row>
    <row r="7">
      <c r="A7" s="270" t="n"/>
    </row>
    <row r="8">
      <c r="A8" s="270" t="n"/>
    </row>
    <row r="9">
      <c r="A9" s="270" t="n"/>
    </row>
    <row r="10">
      <c r="A10" s="270" t="n"/>
    </row>
    <row r="11">
      <c r="A11" s="270" t="n"/>
    </row>
    <row r="12">
      <c r="A12" s="270" t="n"/>
    </row>
    <row r="13">
      <c r="A13" s="270" t="n"/>
    </row>
    <row r="14">
      <c r="A14" s="270" t="n"/>
    </row>
    <row r="15">
      <c r="A15" s="270" t="n"/>
    </row>
    <row r="16">
      <c r="A16" s="270" t="n"/>
    </row>
    <row r="17">
      <c r="A17" s="270" t="n"/>
    </row>
    <row r="18">
      <c r="A18" s="270" t="n"/>
    </row>
    <row r="19">
      <c r="A19" s="270" t="n"/>
    </row>
    <row r="20">
      <c r="A20" s="270" t="n"/>
    </row>
    <row r="21">
      <c r="A21" s="270" t="n"/>
    </row>
    <row r="22">
      <c r="A22" s="270" t="n"/>
    </row>
    <row r="23">
      <c r="A23" s="270" t="n"/>
    </row>
    <row r="24">
      <c r="A24" s="270" t="n"/>
    </row>
    <row r="25">
      <c r="A25" s="270" t="n"/>
    </row>
    <row r="26">
      <c r="A26" s="270" t="n"/>
    </row>
    <row r="27">
      <c r="A27" s="270" t="n"/>
    </row>
    <row r="28">
      <c r="A28" s="270" t="n"/>
    </row>
    <row r="29">
      <c r="A29" s="270" t="n"/>
    </row>
    <row r="30">
      <c r="A30" s="270" t="n"/>
    </row>
    <row r="31">
      <c r="A31" s="270" t="n"/>
    </row>
    <row r="32">
      <c r="A32" s="270" t="n"/>
    </row>
    <row r="33">
      <c r="A33" s="225" t="inlineStr">
        <is>
          <t>Підсумок</t>
        </is>
      </c>
      <c r="B33" s="226">
        <f>SUBTOTAL(109,Таблиця16[[АУ ]])</f>
        <v/>
      </c>
      <c r="C33" s="226">
        <f>SUBTOTAL(109,Таблиця16[Mirage])</f>
        <v/>
      </c>
      <c r="D33" s="226">
        <f>SUBTOTAL(109,Таблиця16[F-16])</f>
        <v/>
      </c>
      <c r="E33" s="226">
        <f>SUBTOTAL(109,Таблиця16[МіГ-29])</f>
        <v/>
      </c>
      <c r="F33" s="226">
        <f>SUBTOTAL(109,Таблиця16[Су-25])</f>
        <v/>
      </c>
      <c r="G33" s="226">
        <f>SUBTOTAL(109,Таблиця16[Су-27])</f>
        <v/>
      </c>
      <c r="H33" s="226">
        <f>SUBTOTAL(109,Таблиця16[AGM-88])</f>
        <v/>
      </c>
      <c r="I33" s="226">
        <f>SUBTOTAL(109,Таблиця16[AASM-250])</f>
        <v/>
      </c>
      <c r="J33" s="226">
        <f>SUBTOTAL(109,Таблиця16[GBU-39])</f>
        <v/>
      </c>
      <c r="K33" s="226">
        <f>SUBTOTAL(109,Таблиця16[BLU-140])</f>
        <v/>
      </c>
      <c r="L33" s="226">
        <f>SUBTOTAL(109,Таблиця16[GBU-65])</f>
        <v/>
      </c>
      <c r="M33" s="226">
        <f>SUBTOTAL(109,Таблиця16[GBU-62])</f>
        <v/>
      </c>
      <c r="N33" s="226">
        <f>SUBTOTAL(109,Таблиця16[GBU-64])</f>
        <v/>
      </c>
      <c r="O33" s="226">
        <f>SUBTOTAL(109,Таблиця16[C-13])</f>
        <v/>
      </c>
      <c r="P33" s="226">
        <f>SUBTOTAL(109,Таблиця16[MK-32])</f>
        <v/>
      </c>
      <c r="Q33" s="226">
        <f>SUBTOTAL(109,Таблиця16[MK-24])</f>
        <v/>
      </c>
      <c r="R33" s="226">
        <f>SUBTOTAL(109,Таблиця16[Уражено])</f>
        <v/>
      </c>
      <c r="S33" s="226">
        <f>SUBTOTAL(109,Таблиця16[НЕ уражено])</f>
        <v/>
      </c>
      <c r="T33" s="226">
        <f>SUBTOTAL(109,Таблиця16[Дорозвідується])</f>
        <v/>
      </c>
    </row>
  </sheetData>
  <pageMargins left="0.7" right="0.7" top="0.75" bottom="0.75" header="0.3" footer="0.3"/>
  <pageSetup orientation="portrait" paperSize="9" horizontalDpi="4294967293" verticalDpi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3"/>
  <sheetViews>
    <sheetView tabSelected="1" topLeftCell="A1202" zoomScale="60" zoomScaleNormal="60" workbookViewId="0">
      <selection activeCell="A2" sqref="A2"/>
    </sheetView>
  </sheetViews>
  <sheetFormatPr baseColWidth="8" defaultRowHeight="14.4"/>
  <cols>
    <col width="12.1015625" customWidth="1" style="84" min="1" max="1"/>
    <col width="12.1015625" customWidth="1" style="2" min="2" max="13"/>
    <col width="13.1015625" customWidth="1" style="2" min="14" max="26"/>
  </cols>
  <sheetData>
    <row r="1">
      <c r="A1" s="80" t="inlineStr">
        <is>
          <t>Дата</t>
        </is>
      </c>
      <c r="B1" s="85" t="inlineStr">
        <is>
          <t>ЖС ВЗ</t>
        </is>
      </c>
      <c r="C1" s="85" t="inlineStr">
        <is>
          <t>Арт. Системи</t>
        </is>
      </c>
      <c r="D1" s="85" t="inlineStr">
        <is>
          <t>ОВТ</t>
        </is>
      </c>
      <c r="E1" s="85" t="inlineStr">
        <is>
          <t>ППО</t>
        </is>
      </c>
      <c r="F1" s="85" t="inlineStr">
        <is>
          <t>Рембаза</t>
        </is>
      </c>
      <c r="G1" s="85" t="inlineStr">
        <is>
          <t>Склад БК</t>
        </is>
      </c>
      <c r="H1" s="85" t="inlineStr">
        <is>
          <t>Склад ВТМ</t>
        </is>
      </c>
      <c r="I1" s="85" t="inlineStr">
        <is>
          <t>ПУ БпЛА</t>
        </is>
      </c>
      <c r="J1" s="85" t="inlineStr">
        <is>
          <t>СП</t>
        </is>
      </c>
      <c r="K1" s="85" t="inlineStr">
        <is>
          <t>КСП роти</t>
        </is>
      </c>
      <c r="L1" s="85" t="inlineStr">
        <is>
          <t>ПУ бат</t>
        </is>
      </c>
      <c r="M1" s="85" t="inlineStr">
        <is>
          <t>ПУ бриг</t>
        </is>
      </c>
      <c r="N1" s="85" t="inlineStr">
        <is>
          <t>ПУ див</t>
        </is>
      </c>
      <c r="O1" s="85" t="inlineStr">
        <is>
          <t>обл. РЕБ</t>
        </is>
      </c>
      <c r="P1" s="85" t="inlineStr">
        <is>
          <t>пос РЕБ</t>
        </is>
      </c>
      <c r="Q1" s="85" t="inlineStr">
        <is>
          <t>група РЕР</t>
        </is>
      </c>
      <c r="R1" s="85" t="inlineStr">
        <is>
          <t>РЛС КББ</t>
        </is>
      </c>
      <c r="S1" s="85" t="inlineStr">
        <is>
          <t>Ретранслятор</t>
        </is>
      </c>
      <c r="T1" s="85" t="inlineStr">
        <is>
          <t>Вз.зв'язку</t>
        </is>
      </c>
      <c r="U1" s="85" t="inlineStr">
        <is>
          <t>ПММ</t>
        </is>
      </c>
      <c r="V1" s="85" t="inlineStr">
        <is>
          <t>ІФС</t>
        </is>
      </c>
      <c r="W1" s="85" t="inlineStr">
        <is>
          <t>Інфраструктура</t>
        </is>
      </c>
      <c r="X1" s="85" t="inlineStr">
        <is>
          <t>Витрата</t>
        </is>
      </c>
    </row>
    <row r="2">
      <c r="A2" s="81" t="n"/>
    </row>
    <row r="3">
      <c r="A3" s="81" t="n"/>
    </row>
    <row r="4">
      <c r="A4" s="81" t="n"/>
    </row>
    <row r="5">
      <c r="A5" s="81" t="n"/>
    </row>
    <row r="6">
      <c r="A6" s="81" t="n"/>
    </row>
    <row r="7">
      <c r="A7" s="81" t="n"/>
    </row>
    <row r="8">
      <c r="A8" s="81" t="n"/>
    </row>
    <row r="9">
      <c r="A9" s="81" t="n"/>
    </row>
    <row r="10">
      <c r="A10" s="81" t="n"/>
    </row>
    <row r="11">
      <c r="A11" s="81" t="n"/>
    </row>
    <row r="12">
      <c r="A12" s="81" t="n"/>
    </row>
    <row r="13">
      <c r="A13" s="81" t="n"/>
    </row>
    <row r="14">
      <c r="A14" s="81" t="n"/>
    </row>
    <row r="15">
      <c r="A15" s="81" t="n"/>
    </row>
    <row r="16">
      <c r="A16" s="81" t="n"/>
    </row>
    <row r="17">
      <c r="A17" s="81" t="n"/>
    </row>
    <row r="18">
      <c r="A18" s="81" t="n"/>
    </row>
    <row r="19">
      <c r="A19" s="81" t="n"/>
    </row>
    <row r="20">
      <c r="A20" s="81" t="n"/>
    </row>
    <row r="21">
      <c r="A21" s="81" t="n"/>
    </row>
    <row r="22">
      <c r="A22" s="81" t="n"/>
    </row>
    <row r="23">
      <c r="A23" s="81" t="n"/>
    </row>
    <row r="24">
      <c r="A24" s="81" t="n"/>
    </row>
    <row r="25">
      <c r="A25" s="81" t="n"/>
    </row>
    <row r="26">
      <c r="A26" s="81" t="n"/>
    </row>
    <row r="27">
      <c r="A27" s="81" t="n"/>
    </row>
    <row r="28">
      <c r="A28" s="81" t="n"/>
    </row>
    <row r="29">
      <c r="A29" s="81" t="n"/>
    </row>
    <row r="30">
      <c r="A30" s="81" t="n"/>
    </row>
    <row r="31">
      <c r="A31" s="81" t="n"/>
    </row>
    <row r="32">
      <c r="A32" s="81" t="n"/>
    </row>
    <row r="33">
      <c r="A33" s="83" t="inlineStr">
        <is>
          <t>Підсумок</t>
        </is>
      </c>
      <c r="B33" s="87">
        <f>SUBTOTAL(109,Таблиця2[ЖС ВЗ])</f>
        <v/>
      </c>
      <c r="C33" s="87">
        <f>SUBTOTAL(109,Таблиця2[Арт. Системи])</f>
        <v/>
      </c>
      <c r="D33" s="87">
        <f>SUBTOTAL(109,Таблиця2[ОВТ])</f>
        <v/>
      </c>
      <c r="E33" s="87">
        <f>SUBTOTAL(109,Таблиця2[ППО])</f>
        <v/>
      </c>
      <c r="F33" s="87">
        <f>SUBTOTAL(109,Таблиця2[Рембаза])</f>
        <v/>
      </c>
      <c r="G33" s="87">
        <f>SUBTOTAL(109,Таблиця2[Склад БК])</f>
        <v/>
      </c>
      <c r="H33" s="87">
        <f>SUBTOTAL(109,Таблиця2[Склад ВТМ])</f>
        <v/>
      </c>
      <c r="I33" s="87">
        <f>SUBTOTAL(109,Таблиця2[ПУ БпЛА])</f>
        <v/>
      </c>
      <c r="J33" s="87">
        <f>SUBTOTAL(109,Таблиця2[СП])</f>
        <v/>
      </c>
      <c r="K33" s="87">
        <f>SUBTOTAL(109,Таблиця2[КСП роти])</f>
        <v/>
      </c>
      <c r="L33" s="87">
        <f>SUBTOTAL(109,Таблиця2[ПУ бат])</f>
        <v/>
      </c>
      <c r="M33" s="87">
        <f>SUBTOTAL(109,Таблиця2[ПУ бриг])</f>
        <v/>
      </c>
      <c r="N33" s="87">
        <f>SUBTOTAL(109,Таблиця2[ПУ див])</f>
        <v/>
      </c>
      <c r="O33" s="87">
        <f>SUBTOTAL(109,Таблиця2[обл. РЕБ])</f>
        <v/>
      </c>
      <c r="P33" s="87">
        <f>SUBTOTAL(109,Таблиця2[пос РЕБ])</f>
        <v/>
      </c>
      <c r="Q33" s="87">
        <f>SUBTOTAL(109,Таблиця2[група РЕР])</f>
        <v/>
      </c>
      <c r="R33" s="87">
        <f>SUBTOTAL(109,Таблиця2[РЛС КББ])</f>
        <v/>
      </c>
      <c r="S33" s="87">
        <f>SUBTOTAL(109,Таблиця2[Ретранслятор])</f>
        <v/>
      </c>
      <c r="T33" s="87">
        <f>SUBTOTAL(109,Таблиця2[Вз.зв''язку])</f>
        <v/>
      </c>
      <c r="U33" s="87">
        <f>SUBTOTAL(109,Таблиця2[ПММ])</f>
        <v/>
      </c>
      <c r="V33" s="87">
        <f>SUBTOTAL(109,Таблиця2[ІФС])</f>
        <v/>
      </c>
      <c r="W33" s="87">
        <f>SUBTOTAL(109,Таблиця2[Інфраструктура])</f>
        <v/>
      </c>
      <c r="X33" s="87">
        <f>SUBTOTAL(109,Таблиця2[Витрата])</f>
        <v/>
      </c>
    </row>
  </sheetData>
  <pageMargins left="0.7" right="0.7" top="0.75" bottom="0.75" header="0.3" footer="0.3"/>
  <pageSetup orientation="portrait" paperSize="9" horizontalDpi="4294967293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EasyWAR</dc:creator>
  <dc:title>EasyWAR — базова таблиця ПС рівня ПВК</dc:title>
  <dcterms:created xsi:type="dcterms:W3CDTF">2026-09-28T00:00:00Z</dcterms:created>
  <dcterms:modified xsi:type="dcterms:W3CDTF">2026-09-28T00:00:00Z</dcterms:modified>
  <cp:lastModifiedBy>EasyWAR</cp:lastModifiedBy>
</cp:coreProperties>
</file>